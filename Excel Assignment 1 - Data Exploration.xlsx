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New folder\"/>
    </mc:Choice>
  </mc:AlternateContent>
  <xr:revisionPtr revIDLastSave="0" documentId="13_ncr:1_{8AF155C0-D403-467B-92C0-D2BA837B78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10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H1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2" i="1"/>
  <c r="I19" i="1"/>
  <c r="I1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J13" i="1"/>
  <c r="I7" i="1"/>
  <c r="I4" i="1"/>
</calcChain>
</file>

<file path=xl/sharedStrings.xml><?xml version="1.0" encoding="utf-8"?>
<sst xmlns="http://schemas.openxmlformats.org/spreadsheetml/2006/main" count="154" uniqueCount="104">
  <si>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</si>
  <si>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</si>
  <si>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</si>
  <si>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</si>
  <si>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</si>
  <si>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</si>
  <si>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</si>
  <si>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</si>
  <si>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</si>
  <si>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</si>
  <si>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</si>
  <si>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</si>
  <si>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</si>
  <si>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</si>
  <si>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</si>
  <si>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</si>
  <si>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</si>
  <si>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</si>
  <si>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</si>
  <si>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</si>
  <si>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</si>
  <si>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</si>
  <si>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</si>
  <si>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</si>
  <si>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</si>
  <si>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</si>
  <si>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</si>
  <si>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</si>
  <si>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</si>
  <si>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</si>
  <si>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</si>
  <si>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</si>
  <si>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</si>
  <si>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</si>
  <si>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</si>
  <si>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</si>
  <si>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</si>
  <si>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</si>
  <si>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</si>
  <si>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</si>
  <si>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</si>
  <si>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</si>
  <si>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</si>
  <si>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</si>
  <si>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</si>
  <si>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</si>
  <si>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</si>
  <si>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</si>
  <si>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</si>
  <si>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</si>
  <si>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</si>
  <si>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</si>
  <si>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</si>
  <si>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</si>
  <si>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</si>
  <si>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</si>
  <si>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</si>
  <si>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</si>
  <si>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</si>
  <si>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</si>
  <si>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</si>
  <si>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</si>
  <si>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</si>
  <si>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</si>
  <si>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</si>
  <si>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</si>
  <si>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</si>
  <si>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</si>
  <si>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</si>
  <si>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</si>
  <si>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</si>
  <si>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</si>
  <si>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</si>
  <si>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</si>
  <si>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</si>
  <si>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</si>
  <si>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</si>
  <si>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</si>
  <si>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</si>
  <si>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</si>
  <si>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</si>
  <si>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</si>
  <si>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</si>
  <si>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</si>
  <si>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</si>
  <si>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</si>
  <si>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</si>
  <si>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</si>
  <si>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</si>
  <si>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</si>
  <si>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</si>
  <si>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</si>
  <si>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</si>
  <si>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</si>
  <si>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SUMIF function</t>
  </si>
  <si>
    <t xml:space="preserve"> COUNTIF function</t>
  </si>
  <si>
    <t>Day</t>
  </si>
  <si>
    <t xml:space="preserve"> Country Code</t>
  </si>
  <si>
    <t>Month</t>
  </si>
  <si>
    <t>Total Price Of All Products</t>
  </si>
  <si>
    <t xml:space="preserve"> Average Price Of The Products</t>
  </si>
  <si>
    <t>How Many Products Exist in the Dataset</t>
  </si>
  <si>
    <t>Minimum price</t>
  </si>
  <si>
    <t>Maximum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</si>
</sst>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5" borderId="3" xfId="0" applyFill="1" applyBorder="1"/>
    <xf numFmtId="0" fontId="0" fillId="5" borderId="4" xfId="0" applyFill="1" applyBorder="1"/>
    <xf numFmtId="0" fontId="0" fillId="5" borderId="3" xfId="0" applyFill="1" applyBorder="1" applyAlignment="1">
      <alignment horizontal="left" vertical="center" indent="6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 indent="6"/>
    </xf>
    <xf numFmtId="0" fontId="1" fillId="2" borderId="14" xfId="0" applyFont="1" applyFill="1" applyBorder="1" applyAlignment="1">
      <alignment horizontal="center"/>
    </xf>
    <xf numFmtId="0" fontId="0" fillId="0" borderId="1" xfId="0" applyBorder="1"/>
    <xf numFmtId="0" fontId="3" fillId="5" borderId="7" xfId="0" applyFont="1" applyFill="1" applyBorder="1" applyAlignment="1">
      <alignment horizontal="center" vertical="center"/>
    </xf>
    <xf numFmtId="0" fontId="0" fillId="0" borderId="15" xfId="0" applyBorder="1"/>
    <xf numFmtId="0" fontId="3" fillId="5" borderId="5" xfId="0" applyFont="1" applyFill="1" applyBorder="1"/>
    <xf numFmtId="0" fontId="0" fillId="5" borderId="5" xfId="0" applyFill="1" applyBorder="1"/>
    <xf numFmtId="0" fontId="2" fillId="4" borderId="15" xfId="0" applyFont="1" applyFill="1" applyBorder="1"/>
    <xf numFmtId="0" fontId="0" fillId="5" borderId="7" xfId="0" applyFill="1" applyBorder="1" applyAlignment="1">
      <alignment horizontal="left" vertical="center" indent="6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CA6832-2A30-4D16-B4B2-5E76CABF20DE}" name="Sale_DB" displayName="Sale_DB" ref="A1:F35" totalsRowShown="0" headerRowDxfId="14" dataDxfId="13">
  <autoFilter ref="A1:F35" xr:uid="{2DCA6832-2A30-4D16-B4B2-5E76CABF20DE}"/>
  <tableColumns count="6">
    <tableColumn id="1" xr3:uid="{AAA70AFC-CCE8-4C72-8F4F-D3F40F0634D3}" name="Product ID" dataDxfId="12"/>
    <tableColumn id="2" xr3:uid="{010FE7A2-1B0E-40A8-BB91-B6FD47A4F3A7}" name="Product Name" dataDxfId="11"/>
    <tableColumn id="3" xr3:uid="{2425ED3E-13AE-4F31-B903-D352DE56AC29}" name="Brand Name" dataDxfId="10"/>
    <tableColumn id="4" xr3:uid="{E4EFDEFE-825F-4FED-A285-BAC94216F8F0}" name="Price ($)" dataDxfId="9"/>
    <tableColumn id="5" xr3:uid="{2C45CC09-0520-43FC-BDAE-A77536386CF8}" name="Quantity" dataDxfId="8"/>
    <tableColumn id="6" xr3:uid="{884E5E81-217B-47D3-8795-AE7704AB026E}" name="Category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84E3CE-BA59-4E93-9C67-E4F5FD1909E2}" name="Table2" displayName="Table2" ref="L1:O35" totalsRowShown="0" headerRowDxfId="6" dataDxfId="4" headerRowBorderDxfId="5" tableBorderDxfId="3">
  <autoFilter ref="L1:O35" xr:uid="{B084E3CE-BA59-4E93-9C67-E4F5FD1909E2}"/>
  <tableColumns count="4">
    <tableColumn id="1" xr3:uid="{1926DCD7-A7F4-4E8B-8737-C118597C2947}" name="Price Range">
      <calculatedColumnFormula>IF(Sale_DB[Price ($)]&gt;=500,"High Price","Standard Price")</calculatedColumnFormula>
    </tableColumn>
    <tableColumn id="2" xr3:uid="{A79DFDAF-1BBB-4200-8869-053C41E8EADD}" name="Day" dataDxfId="2">
      <calculatedColumnFormula>LEFT(Sale_DB[Product ID],2)</calculatedColumnFormula>
    </tableColumn>
    <tableColumn id="3" xr3:uid="{8BB183F1-206D-4AA4-BF39-8AC015D60C3E}" name=" Country Code" dataDxfId="1">
      <calculatedColumnFormula>RIGHT(Sale_DB[Product ID],2)</calculatedColumnFormula>
    </tableColumn>
    <tableColumn id="4" xr3:uid="{6E548497-903E-493E-A746-8CC97EDBF405}" name="Month" dataDxfId="0">
      <calculatedColumnFormula>MID(Sale_DB[[#This Row],[Product ID]],4,3)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selection activeCell="K17" sqref="K17"/>
    </sheetView>
  </sheetViews>
  <sheetFormatPr defaultColWidth="12.5703125" defaultRowHeight="15" customHeight="1" x14ac:dyDescent="0.2"/>
  <cols>
    <col min="2" max="2" width="16" customWidth="1"/>
    <col min="3" max="3" width="14.42578125" customWidth="1"/>
    <col min="8" max="8" width="13.7109375" customWidth="1"/>
    <col min="9" max="9" width="25.85546875" bestFit="1" customWidth="1"/>
    <col min="10" max="10" width="13.85546875" bestFit="1" customWidth="1"/>
    <col min="12" max="12" width="26" bestFit="1" customWidth="1"/>
    <col min="13" max="13" width="13.5703125" style="7" bestFit="1" customWidth="1"/>
    <col min="14" max="14" width="14.140625" style="7" bestFit="1" customWidth="1"/>
    <col min="15" max="15" width="15.42578125" bestFit="1" customWidth="1"/>
  </cols>
  <sheetData>
    <row r="1" spans="1:15" ht="15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L1" s="18" t="s">
        <v>93</v>
      </c>
      <c r="M1" s="18" t="s">
        <v>96</v>
      </c>
      <c r="N1" s="18" t="s">
        <v>97</v>
      </c>
      <c r="O1" s="18" t="s">
        <v>98</v>
      </c>
    </row>
    <row r="2" spans="1:15" ht="15.75" customHeight="1" thickBo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/>
      <c r="H2" s="8"/>
      <c r="I2" s="9"/>
      <c r="J2" s="10"/>
      <c r="L2" t="str">
        <f>IF(Sale_DB[Price ($)]&gt;=500,"High Price","Standard Price")</f>
        <v>High Price</v>
      </c>
      <c r="M2" s="7" t="str">
        <f>LEFT(Sale_DB[Product ID],2)</f>
        <v>28</v>
      </c>
      <c r="N2" s="7" t="str">
        <f>RIGHT(Sale_DB[Product ID],2)</f>
        <v>US</v>
      </c>
      <c r="O2" s="7" t="str">
        <f>MID(Sale_DB[[#This Row],[Product ID]],4,3)</f>
        <v>JAN</v>
      </c>
    </row>
    <row r="3" spans="1:15" ht="15.75" customHeight="1" thickBo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/>
      <c r="H3" s="5"/>
      <c r="I3" s="16" t="s">
        <v>99</v>
      </c>
      <c r="J3" s="4"/>
      <c r="L3" t="str">
        <f>IF(Sale_DB[Price ($)]&gt;=500,"High Price","Standard Price")</f>
        <v>Standard Price</v>
      </c>
      <c r="M3" s="7" t="str">
        <f>LEFT(Sale_DB[Product ID],2)</f>
        <v>15</v>
      </c>
      <c r="N3" s="7" t="str">
        <f>RIGHT(Sale_DB[Product ID],2)</f>
        <v>US</v>
      </c>
      <c r="O3" s="7" t="str">
        <f>MID(Sale_DB[[#This Row],[Product ID]],4,3)</f>
        <v>FEB</v>
      </c>
    </row>
    <row r="4" spans="1:15" ht="15.75" customHeight="1" thickBo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/>
      <c r="H4" s="11"/>
      <c r="I4" s="19">
        <f>SUM(Sale_DB[Price ($)])</f>
        <v>10100</v>
      </c>
      <c r="J4" s="12"/>
      <c r="L4" t="str">
        <f>IF(Sale_DB[Price ($)]&gt;=500,"High Price","Standard Price")</f>
        <v>Standard Price</v>
      </c>
      <c r="M4" s="7" t="str">
        <f>LEFT(Sale_DB[Product ID],2)</f>
        <v>03</v>
      </c>
      <c r="N4" s="7" t="str">
        <f>RIGHT(Sale_DB[Product ID],2)</f>
        <v>US</v>
      </c>
      <c r="O4" s="7" t="str">
        <f>MID(Sale_DB[[#This Row],[Product ID]],4,3)</f>
        <v>MAR</v>
      </c>
    </row>
    <row r="5" spans="1:15" ht="15.75" customHeight="1" thickBo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/>
      <c r="H5" s="11"/>
      <c r="J5" s="12"/>
      <c r="L5" t="str">
        <f>IF(Sale_DB[Price ($)]&gt;=500,"High Price","Standard Price")</f>
        <v>High Price</v>
      </c>
      <c r="M5" s="7" t="str">
        <f>LEFT(Sale_DB[Product ID],2)</f>
        <v>11</v>
      </c>
      <c r="N5" s="7" t="str">
        <f>RIGHT(Sale_DB[Product ID],2)</f>
        <v>US</v>
      </c>
      <c r="O5" s="7" t="str">
        <f>MID(Sale_DB[[#This Row],[Product ID]],4,3)</f>
        <v>APR</v>
      </c>
    </row>
    <row r="6" spans="1:15" ht="15.75" customHeight="1" thickBo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/>
      <c r="H6" s="5"/>
      <c r="I6" s="20" t="s">
        <v>100</v>
      </c>
      <c r="J6" s="4"/>
      <c r="L6" t="str">
        <f>IF(Sale_DB[Price ($)]&gt;=500,"High Price","Standard Price")</f>
        <v>Standard Price</v>
      </c>
      <c r="M6" s="7" t="str">
        <f>LEFT(Sale_DB[Product ID],2)</f>
        <v>22</v>
      </c>
      <c r="N6" s="7" t="str">
        <f>RIGHT(Sale_DB[Product ID],2)</f>
        <v>US</v>
      </c>
      <c r="O6" s="7" t="str">
        <f>MID(Sale_DB[[#This Row],[Product ID]],4,3)</f>
        <v>MAY</v>
      </c>
    </row>
    <row r="7" spans="1:15" ht="15.75" customHeight="1" thickBo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/>
      <c r="H7" s="11"/>
      <c r="I7" s="21">
        <f>AVERAGE(Sale_DB[Price ($)])</f>
        <v>297.05882352941177</v>
      </c>
      <c r="J7" s="12"/>
      <c r="L7" t="str">
        <f>IF(Sale_DB[Price ($)]&gt;=500,"High Price","Standard Price")</f>
        <v>Standard Price</v>
      </c>
      <c r="M7" s="7" t="str">
        <f>LEFT(Sale_DB[Product ID],2)</f>
        <v>07</v>
      </c>
      <c r="N7" s="7" t="str">
        <f>RIGHT(Sale_DB[Product ID],2)</f>
        <v>UK</v>
      </c>
      <c r="O7" s="7" t="str">
        <f>MID(Sale_DB[[#This Row],[Product ID]],4,3)</f>
        <v>JUN</v>
      </c>
    </row>
    <row r="8" spans="1:15" ht="15.75" customHeight="1" thickBo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/>
      <c r="H8" s="11"/>
      <c r="J8" s="12"/>
      <c r="L8" t="str">
        <f>IF(Sale_DB[Price ($)]&gt;=500,"High Price","Standard Price")</f>
        <v>Standard Price</v>
      </c>
      <c r="M8" s="7" t="str">
        <f>LEFT(Sale_DB[Product ID],2)</f>
        <v>19</v>
      </c>
      <c r="N8" s="7" t="str">
        <f>RIGHT(Sale_DB[Product ID],2)</f>
        <v>UK</v>
      </c>
      <c r="O8" s="7" t="str">
        <f>MID(Sale_DB[[#This Row],[Product ID]],4,3)</f>
        <v>JUL</v>
      </c>
    </row>
    <row r="9" spans="1:15" ht="15.75" customHeight="1" thickBo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/>
      <c r="H9" s="17" t="s">
        <v>101</v>
      </c>
      <c r="I9" s="25"/>
      <c r="J9" s="6"/>
      <c r="L9" t="str">
        <f>IF(Sale_DB[Price ($)]&gt;=500,"High Price","Standard Price")</f>
        <v>Standard Price</v>
      </c>
      <c r="M9" s="7" t="str">
        <f>LEFT(Sale_DB[Product ID],2)</f>
        <v>23</v>
      </c>
      <c r="N9" s="7" t="str">
        <f>RIGHT(Sale_DB[Product ID],2)</f>
        <v>UK</v>
      </c>
      <c r="O9" s="7" t="str">
        <f>MID(Sale_DB[[#This Row],[Product ID]],4,3)</f>
        <v>AUG</v>
      </c>
    </row>
    <row r="10" spans="1:15" ht="15.75" customHeight="1" thickBo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/>
      <c r="H10" s="11"/>
      <c r="I10" s="21">
        <f>COUNTA(Sale_DB[Product Name])</f>
        <v>34</v>
      </c>
      <c r="J10" s="12"/>
      <c r="L10" t="str">
        <f>IF(Sale_DB[Price ($)]&gt;=500,"High Price","Standard Price")</f>
        <v>High Price</v>
      </c>
      <c r="M10" s="7" t="str">
        <f>LEFT(Sale_DB[Product ID],2)</f>
        <v>05</v>
      </c>
      <c r="N10" s="7" t="str">
        <f>RIGHT(Sale_DB[Product ID],2)</f>
        <v>UK</v>
      </c>
      <c r="O10" s="7" t="str">
        <f>MID(Sale_DB[[#This Row],[Product ID]],4,3)</f>
        <v>SEP</v>
      </c>
    </row>
    <row r="11" spans="1:15" ht="15.75" customHeight="1" thickBo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/>
      <c r="H11" s="11"/>
      <c r="J11" s="12"/>
      <c r="L11" t="str">
        <f>IF(Sale_DB[Price ($)]&gt;=500,"High Price","Standard Price")</f>
        <v>Standard Price</v>
      </c>
      <c r="M11" s="7" t="str">
        <f>LEFT(Sale_DB[Product ID],2)</f>
        <v>14</v>
      </c>
      <c r="N11" s="7" t="str">
        <f>RIGHT(Sale_DB[Product ID],2)</f>
        <v>UK</v>
      </c>
      <c r="O11" s="7" t="str">
        <f>MID(Sale_DB[[#This Row],[Product ID]],4,3)</f>
        <v>OCT</v>
      </c>
    </row>
    <row r="12" spans="1:15" ht="15.75" customHeight="1" thickBo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/>
      <c r="H12" s="22" t="s">
        <v>102</v>
      </c>
      <c r="J12" s="22" t="s">
        <v>103</v>
      </c>
      <c r="L12" t="str">
        <f>IF(Sale_DB[Price ($)]&gt;=500,"High Price","Standard Price")</f>
        <v>High Price</v>
      </c>
      <c r="M12" s="7" t="str">
        <f>LEFT(Sale_DB[Product ID],2)</f>
        <v>17</v>
      </c>
      <c r="N12" s="7" t="str">
        <f>RIGHT(Sale_DB[Product ID],2)</f>
        <v>IN</v>
      </c>
      <c r="O12" s="7" t="str">
        <f>MID(Sale_DB[[#This Row],[Product ID]],4,3)</f>
        <v>JUN</v>
      </c>
    </row>
    <row r="13" spans="1:15" ht="15.75" customHeight="1" thickBo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/>
      <c r="H13" s="21">
        <f>MIN(Sale_DB[Price ($)])</f>
        <v>30</v>
      </c>
      <c r="J13" s="21">
        <f>MAX(Sale_DB[Price ($)])</f>
        <v>1000</v>
      </c>
      <c r="L13" t="str">
        <f>IF(Sale_DB[Price ($)]&gt;=500,"High Price","Standard Price")</f>
        <v>Standard Price</v>
      </c>
      <c r="M13" s="7" t="str">
        <f>LEFT(Sale_DB[Product ID],2)</f>
        <v>25</v>
      </c>
      <c r="N13" s="7" t="str">
        <f>RIGHT(Sale_DB[Product ID],2)</f>
        <v>AU</v>
      </c>
      <c r="O13" s="7" t="str">
        <f>MID(Sale_DB[[#This Row],[Product ID]],4,3)</f>
        <v>NOV</v>
      </c>
    </row>
    <row r="14" spans="1:15" ht="15.75" customHeight="1" thickBo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/>
      <c r="H14" s="11"/>
      <c r="J14" s="12"/>
      <c r="L14" t="str">
        <f>IF(Sale_DB[Price ($)]&gt;=500,"High Price","Standard Price")</f>
        <v>Standard Price</v>
      </c>
      <c r="M14" s="7" t="str">
        <f>LEFT(Sale_DB[Product ID],2)</f>
        <v>08</v>
      </c>
      <c r="N14" s="7" t="str">
        <f>RIGHT(Sale_DB[Product ID],2)</f>
        <v>DE</v>
      </c>
      <c r="O14" s="7" t="str">
        <f>MID(Sale_DB[[#This Row],[Product ID]],4,3)</f>
        <v>DEC</v>
      </c>
    </row>
    <row r="15" spans="1:15" ht="15.75" customHeight="1" thickBo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/>
      <c r="H15" s="11"/>
      <c r="I15" s="23" t="s">
        <v>94</v>
      </c>
      <c r="J15" s="12"/>
      <c r="L15" t="str">
        <f>IF(Sale_DB[Price ($)]&gt;=500,"High Price","Standard Price")</f>
        <v>Standard Price</v>
      </c>
      <c r="M15" s="7" t="str">
        <f>LEFT(Sale_DB[Product ID],2)</f>
        <v>18</v>
      </c>
      <c r="N15" s="7" t="str">
        <f>RIGHT(Sale_DB[Product ID],2)</f>
        <v>CA</v>
      </c>
      <c r="O15" s="7" t="str">
        <f>MID(Sale_DB[[#This Row],[Product ID]],4,3)</f>
        <v>FEB</v>
      </c>
    </row>
    <row r="16" spans="1:15" ht="15.75" customHeight="1" thickBo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/>
      <c r="H16" s="24" t="s">
        <v>9</v>
      </c>
      <c r="I16" s="21">
        <f>SUMIF(Sale_DB[Category],H16,Sale_DB[Price ($)])</f>
        <v>8050</v>
      </c>
      <c r="J16" s="12"/>
      <c r="L16" t="str">
        <f>IF(Sale_DB[Price ($)]&gt;=500,"High Price","Standard Price")</f>
        <v>Standard Price</v>
      </c>
      <c r="M16" s="7" t="str">
        <f>LEFT(Sale_DB[Product ID],2)</f>
        <v>16</v>
      </c>
      <c r="N16" s="7" t="str">
        <f>RIGHT(Sale_DB[Product ID],2)</f>
        <v>ES</v>
      </c>
      <c r="O16" s="7" t="str">
        <f>MID(Sale_DB[[#This Row],[Product ID]],4,3)</f>
        <v>APR</v>
      </c>
    </row>
    <row r="17" spans="1:15" ht="15.75" customHeight="1" thickBo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/>
      <c r="H17" s="11"/>
      <c r="J17" s="12"/>
      <c r="L17" t="str">
        <f>IF(Sale_DB[Price ($)]&gt;=500,"High Price","Standard Price")</f>
        <v>Standard Price</v>
      </c>
      <c r="M17" s="7" t="str">
        <f>LEFT(Sale_DB[Product ID],2)</f>
        <v>21</v>
      </c>
      <c r="N17" s="7" t="str">
        <f>RIGHT(Sale_DB[Product ID],2)</f>
        <v>CA</v>
      </c>
      <c r="O17" s="7" t="str">
        <f>MID(Sale_DB[[#This Row],[Product ID]],4,3)</f>
        <v>AUG</v>
      </c>
    </row>
    <row r="18" spans="1:15" ht="15.75" customHeight="1" thickBo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/>
      <c r="H18" s="11"/>
      <c r="I18" s="23" t="s">
        <v>95</v>
      </c>
      <c r="J18" s="12"/>
      <c r="L18" t="str">
        <f>IF(Sale_DB[Price ($)]&gt;=500,"High Price","Standard Price")</f>
        <v>Standard Price</v>
      </c>
      <c r="M18" s="7" t="str">
        <f>LEFT(Sale_DB[Product ID],2)</f>
        <v>20</v>
      </c>
      <c r="N18" s="7" t="str">
        <f>RIGHT(Sale_DB[Product ID],2)</f>
        <v>CN</v>
      </c>
      <c r="O18" s="7" t="str">
        <f>MID(Sale_DB[[#This Row],[Product ID]],4,3)</f>
        <v>AUG</v>
      </c>
    </row>
    <row r="19" spans="1:15" ht="15.75" customHeight="1" thickBo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/>
      <c r="H19" s="11"/>
      <c r="I19" s="21">
        <f>COUNTIF(Sale_DB[Price ($)],"&lt;100")</f>
        <v>11</v>
      </c>
      <c r="J19" s="12"/>
      <c r="L19" t="str">
        <f>IF(Sale_DB[Price ($)]&gt;=500,"High Price","Standard Price")</f>
        <v>High Price</v>
      </c>
      <c r="M19" s="7" t="str">
        <f>LEFT(Sale_DB[Product ID],2)</f>
        <v>27</v>
      </c>
      <c r="N19" s="7" t="str">
        <f>RIGHT(Sale_DB[Product ID],2)</f>
        <v>IT</v>
      </c>
      <c r="O19" s="7" t="str">
        <f>MID(Sale_DB[[#This Row],[Product ID]],4,3)</f>
        <v>JAN</v>
      </c>
    </row>
    <row r="20" spans="1:15" ht="15.75" customHeight="1" thickBo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/>
      <c r="H20" s="13"/>
      <c r="I20" s="14"/>
      <c r="J20" s="15"/>
      <c r="L20" t="str">
        <f>IF(Sale_DB[Price ($)]&gt;=500,"High Price","Standard Price")</f>
        <v>Standard Price</v>
      </c>
      <c r="M20" s="7" t="str">
        <f>LEFT(Sale_DB[Product ID],2)</f>
        <v>01</v>
      </c>
      <c r="N20" s="7" t="str">
        <f>RIGHT(Sale_DB[Product ID],2)</f>
        <v>UK</v>
      </c>
      <c r="O20" s="7" t="str">
        <f>MID(Sale_DB[[#This Row],[Product ID]],4,3)</f>
        <v>MAR</v>
      </c>
    </row>
    <row r="21" spans="1:15" ht="15.75" customHeight="1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/>
      <c r="L21" t="str">
        <f>IF(Sale_DB[Price ($)]&gt;=500,"High Price","Standard Price")</f>
        <v>Standard Price</v>
      </c>
      <c r="M21" s="7" t="str">
        <f>LEFT(Sale_DB[Product ID],2)</f>
        <v>14</v>
      </c>
      <c r="N21" s="7" t="str">
        <f>RIGHT(Sale_DB[Product ID],2)</f>
        <v>US</v>
      </c>
      <c r="O21" s="7" t="str">
        <f>MID(Sale_DB[[#This Row],[Product ID]],4,3)</f>
        <v>AUG</v>
      </c>
    </row>
    <row r="22" spans="1:15" ht="15.75" customHeight="1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/>
      <c r="L22" t="str">
        <f>IF(Sale_DB[Price ($)]&gt;=500,"High Price","Standard Price")</f>
        <v>High Price</v>
      </c>
      <c r="M22" s="7" t="str">
        <f>LEFT(Sale_DB[Product ID],2)</f>
        <v>14</v>
      </c>
      <c r="N22" s="7" t="str">
        <f>RIGHT(Sale_DB[Product ID],2)</f>
        <v>RU</v>
      </c>
      <c r="O22" s="7" t="str">
        <f>MID(Sale_DB[[#This Row],[Product ID]],4,3)</f>
        <v>MAY</v>
      </c>
    </row>
    <row r="23" spans="1:15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/>
      <c r="L23" t="str">
        <f>IF(Sale_DB[Price ($)]&gt;=500,"High Price","Standard Price")</f>
        <v>Standard Price</v>
      </c>
      <c r="M23" s="7" t="str">
        <f>LEFT(Sale_DB[Product ID],2)</f>
        <v>09</v>
      </c>
      <c r="N23" s="7" t="str">
        <f>RIGHT(Sale_DB[Product ID],2)</f>
        <v>CA</v>
      </c>
      <c r="O23" s="7" t="str">
        <f>MID(Sale_DB[[#This Row],[Product ID]],4,3)</f>
        <v>JAN</v>
      </c>
    </row>
    <row r="24" spans="1:15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/>
      <c r="L24" t="str">
        <f>IF(Sale_DB[Price ($)]&gt;=500,"High Price","Standard Price")</f>
        <v>Standard Price</v>
      </c>
      <c r="M24" s="7" t="str">
        <f>LEFT(Sale_DB[Product ID],2)</f>
        <v>19</v>
      </c>
      <c r="N24" s="7" t="str">
        <f>RIGHT(Sale_DB[Product ID],2)</f>
        <v>BR</v>
      </c>
      <c r="O24" s="7" t="str">
        <f>MID(Sale_DB[[#This Row],[Product ID]],4,3)</f>
        <v>JUL</v>
      </c>
    </row>
    <row r="25" spans="1:15" ht="15.75" customHeight="1" x14ac:dyDescent="0.2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/>
      <c r="L25" t="str">
        <f>IF(Sale_DB[Price ($)]&gt;=500,"High Price","Standard Price")</f>
        <v>Standard Price</v>
      </c>
      <c r="M25" s="7" t="str">
        <f>LEFT(Sale_DB[Product ID],2)</f>
        <v>21</v>
      </c>
      <c r="N25" s="7" t="str">
        <f>RIGHT(Sale_DB[Product ID],2)</f>
        <v>CA</v>
      </c>
      <c r="O25" s="7" t="str">
        <f>MID(Sale_DB[[#This Row],[Product ID]],4,3)</f>
        <v>AUG</v>
      </c>
    </row>
    <row r="26" spans="1:15" ht="15.75" customHeight="1" x14ac:dyDescent="0.2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/>
      <c r="L26" t="str">
        <f>IF(Sale_DB[Price ($)]&gt;=500,"High Price","Standard Price")</f>
        <v>High Price</v>
      </c>
      <c r="M26" s="7" t="str">
        <f>LEFT(Sale_DB[Product ID],2)</f>
        <v>29</v>
      </c>
      <c r="N26" s="7" t="str">
        <f>RIGHT(Sale_DB[Product ID],2)</f>
        <v>CA</v>
      </c>
      <c r="O26" s="7" t="str">
        <f>MID(Sale_DB[[#This Row],[Product ID]],4,3)</f>
        <v>SEP</v>
      </c>
    </row>
    <row r="27" spans="1:15" ht="15.75" customHeight="1" x14ac:dyDescent="0.2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/>
      <c r="L27" t="str">
        <f>IF(Sale_DB[Price ($)]&gt;=500,"High Price","Standard Price")</f>
        <v>Standard Price</v>
      </c>
      <c r="M27" s="7" t="str">
        <f>LEFT(Sale_DB[Product ID],2)</f>
        <v>03</v>
      </c>
      <c r="N27" s="7" t="str">
        <f>RIGHT(Sale_DB[Product ID],2)</f>
        <v>CA</v>
      </c>
      <c r="O27" s="7" t="str">
        <f>MID(Sale_DB[[#This Row],[Product ID]],4,3)</f>
        <v>JUN</v>
      </c>
    </row>
    <row r="28" spans="1:15" ht="15.75" customHeight="1" x14ac:dyDescent="0.2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/>
      <c r="L28" t="str">
        <f>IF(Sale_DB[Price ($)]&gt;=500,"High Price","Standard Price")</f>
        <v>Standard Price</v>
      </c>
      <c r="M28" s="7" t="str">
        <f>LEFT(Sale_DB[Product ID],2)</f>
        <v>11</v>
      </c>
      <c r="N28" s="7" t="str">
        <f>RIGHT(Sale_DB[Product ID],2)</f>
        <v>CA</v>
      </c>
      <c r="O28" s="7" t="str">
        <f>MID(Sale_DB[[#This Row],[Product ID]],4,3)</f>
        <v>JUL</v>
      </c>
    </row>
    <row r="29" spans="1:15" ht="15.75" customHeight="1" x14ac:dyDescent="0.2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/>
      <c r="L29" t="str">
        <f>IF(Sale_DB[Price ($)]&gt;=500,"High Price","Standard Price")</f>
        <v>Standard Price</v>
      </c>
      <c r="M29" s="7" t="str">
        <f>LEFT(Sale_DB[Product ID],2)</f>
        <v>16</v>
      </c>
      <c r="N29" s="7" t="str">
        <f>RIGHT(Sale_DB[Product ID],2)</f>
        <v>ES</v>
      </c>
      <c r="O29" s="7" t="str">
        <f>MID(Sale_DB[[#This Row],[Product ID]],4,3)</f>
        <v>APR</v>
      </c>
    </row>
    <row r="30" spans="1:15" ht="15.75" customHeight="1" x14ac:dyDescent="0.2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/>
      <c r="L30" t="str">
        <f>IF(Sale_DB[Price ($)]&gt;=500,"High Price","Standard Price")</f>
        <v>Standard Price</v>
      </c>
      <c r="M30" s="7" t="str">
        <f>LEFT(Sale_DB[Product ID],2)</f>
        <v>07</v>
      </c>
      <c r="N30" s="7" t="str">
        <f>RIGHT(Sale_DB[Product ID],2)</f>
        <v>CA</v>
      </c>
      <c r="O30" s="7" t="str">
        <f>MID(Sale_DB[[#This Row],[Product ID]],4,3)</f>
        <v>MAR</v>
      </c>
    </row>
    <row r="31" spans="1:15" ht="15.75" customHeight="1" x14ac:dyDescent="0.2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/>
      <c r="L31" t="str">
        <f>IF(Sale_DB[Price ($)]&gt;=500,"High Price","Standard Price")</f>
        <v>Standard Price</v>
      </c>
      <c r="M31" s="7" t="str">
        <f>LEFT(Sale_DB[Product ID],2)</f>
        <v>13</v>
      </c>
      <c r="N31" s="7" t="str">
        <f>RIGHT(Sale_DB[Product ID],2)</f>
        <v>CA</v>
      </c>
      <c r="O31" s="7" t="str">
        <f>MID(Sale_DB[[#This Row],[Product ID]],4,3)</f>
        <v>APR</v>
      </c>
    </row>
    <row r="32" spans="1:15" ht="15.75" customHeight="1" x14ac:dyDescent="0.2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/>
      <c r="L32" t="str">
        <f>IF(Sale_DB[Price ($)]&gt;=500,"High Price","Standard Price")</f>
        <v>Standard Price</v>
      </c>
      <c r="M32" s="7" t="str">
        <f>LEFT(Sale_DB[Product ID],2)</f>
        <v>24</v>
      </c>
      <c r="N32" s="7" t="str">
        <f>RIGHT(Sale_DB[Product ID],2)</f>
        <v>CA</v>
      </c>
      <c r="O32" s="7" t="str">
        <f>MID(Sale_DB[[#This Row],[Product ID]],4,3)</f>
        <v>MAY</v>
      </c>
    </row>
    <row r="33" spans="1:15" ht="15.75" customHeight="1" x14ac:dyDescent="0.2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/>
      <c r="L33" t="str">
        <f>IF(Sale_DB[Price ($)]&gt;=500,"High Price","Standard Price")</f>
        <v>Standard Price</v>
      </c>
      <c r="M33" s="7" t="str">
        <f>LEFT(Sale_DB[Product ID],2)</f>
        <v>02</v>
      </c>
      <c r="N33" s="7" t="str">
        <f>RIGHT(Sale_DB[Product ID],2)</f>
        <v>CA</v>
      </c>
      <c r="O33" s="7" t="str">
        <f>MID(Sale_DB[[#This Row],[Product ID]],4,3)</f>
        <v>DEC</v>
      </c>
    </row>
    <row r="34" spans="1:15" ht="15.75" customHeight="1" x14ac:dyDescent="0.2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/>
      <c r="L34" t="str">
        <f>IF(Sale_DB[Price ($)]&gt;=500,"High Price","Standard Price")</f>
        <v>High Price</v>
      </c>
      <c r="M34" s="7" t="str">
        <f>LEFT(Sale_DB[Product ID],2)</f>
        <v>17</v>
      </c>
      <c r="N34" s="7" t="str">
        <f>RIGHT(Sale_DB[Product ID],2)</f>
        <v>IN</v>
      </c>
      <c r="O34" s="7" t="str">
        <f>MID(Sale_DB[[#This Row],[Product ID]],4,3)</f>
        <v>JUN</v>
      </c>
    </row>
    <row r="35" spans="1:15" ht="15.75" customHeight="1" x14ac:dyDescent="0.2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/>
      <c r="L35" t="str">
        <f>IF(Sale_DB[Price ($)]&gt;=500,"High Price","Standard Price")</f>
        <v>Standard Price</v>
      </c>
      <c r="M35" s="7" t="str">
        <f>LEFT(Sale_DB[Product ID],2)</f>
        <v>09</v>
      </c>
      <c r="N35" s="7" t="str">
        <f>RIGHT(Sale_DB[Product ID],2)</f>
        <v>FR</v>
      </c>
      <c r="O35" s="7" t="str">
        <f>MID(Sale_DB[[#This Row],[Product ID]],4,3)</f>
        <v>JUL</v>
      </c>
    </row>
    <row r="36" spans="1:15" ht="15.75" customHeight="1" x14ac:dyDescent="0.2"/>
    <row r="37" spans="1:15" ht="15.75" customHeight="1" x14ac:dyDescent="0.2"/>
    <row r="38" spans="1:15" ht="15.75" customHeight="1" x14ac:dyDescent="0.2"/>
    <row r="39" spans="1:15" ht="15.75" customHeight="1" x14ac:dyDescent="0.2"/>
    <row r="40" spans="1:15" ht="15.75" customHeight="1" x14ac:dyDescent="0.2"/>
    <row r="41" spans="1:15" ht="15.75" customHeight="1" x14ac:dyDescent="0.2"/>
    <row r="42" spans="1:15" ht="15.75" customHeight="1" x14ac:dyDescent="0.2"/>
    <row r="43" spans="1:15" ht="15.75" customHeight="1" x14ac:dyDescent="0.2"/>
    <row r="44" spans="1:15" ht="15.75" customHeight="1" x14ac:dyDescent="0.2"/>
    <row r="45" spans="1:15" ht="15.75" customHeight="1" x14ac:dyDescent="0.2"/>
    <row r="46" spans="1:15" ht="15.75" customHeight="1" x14ac:dyDescent="0.2"/>
    <row r="47" spans="1:15" ht="15.75" customHeight="1" x14ac:dyDescent="0.2"/>
    <row r="48" spans="1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I4">
    <sortCondition ref="I3:I4"/>
  </sortState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539F41-680F-4171-A80A-8D3B9C9EF5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Hadhiran PC</dc:creator>
  <cp:lastModifiedBy>Subramaniyam sathya</cp:lastModifiedBy>
  <dcterms:created xsi:type="dcterms:W3CDTF">2026-06-04T19:33:16Z</dcterms:created>
  <dcterms:modified xsi:type="dcterms:W3CDTF">2026-06-06T08:43:14Z</dcterms:modified>
</cp:coreProperties>
</file>